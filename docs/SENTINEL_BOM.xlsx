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Build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<sst xmlns="http://schemas.openxmlformats.org/spreadsheetml/2006/main" count="249" uniqueCount="166">
  <si>
    <t xml:space="preserve">SENTINEL — Intelligent Battery Pack Safety System</t>
  </si>
  <si>
    <t xml:space="preserve">Bill of Materials  |  ₹6,000 Budget  |  ESP32 + Laptop Architecture  |  Caterpillar Hackathon 2026</t>
  </si>
  <si>
    <t xml:space="preserve">Architecture: Sensor Layer (thermistors, voltage dividers, INA219, MPU-6050) → ESP32 (polling, rate-of-change, serial) → Laptop Python (Isolation Forest + fault logic) → Relay / LEDs / Buzzer</t>
  </si>
  <si>
    <t xml:space="preserve">S.No</t>
  </si>
  <si>
    <t xml:space="preserve">Component Name</t>
  </si>
  <si>
    <t xml:space="preserve">Category</t>
  </si>
  <si>
    <t xml:space="preserve">Qty</t>
  </si>
  <si>
    <t xml:space="preserve">Unit</t>
  </si>
  <si>
    <t xml:space="preserve">Specification</t>
  </si>
  <si>
    <t xml:space="preserve">Purpose / Notes</t>
  </si>
  <si>
    <t xml:space="preserve">Unit Price (₹)</t>
  </si>
  <si>
    <t xml:space="preserve">Total Price (₹)</t>
  </si>
  <si>
    <t xml:space="preserve">Where to Buy</t>
  </si>
  <si>
    <t xml:space="preserve">Priority</t>
  </si>
  <si>
    <t xml:space="preserve">COMPUTE — ESP32 + Laptop (Raspberry Pi dropped to stay under ₹6,000)</t>
  </si>
  <si>
    <t xml:space="preserve">ESP32 DevKit V1 (38-pin)</t>
  </si>
  <si>
    <t xml:space="preserve">Compute</t>
  </si>
  <si>
    <t xml:space="preserve">pcs</t>
  </si>
  <si>
    <t xml:space="preserve">Dual-core Xtensa LX6, 240MHz, 4MB flash, 12-bit ADC ×18, I2C, UART, WiFi</t>
  </si>
  <si>
    <t xml:space="preserve">Main MCU — polls all sensors, computes dT/dt and dV/dt, sends serial data to laptop, receives fault level back, controls relay/LEDs/buzzer</t>
  </si>
  <si>
    <t xml:space="preserve">Robu.in / Ritchie Street</t>
  </si>
  <si>
    <t xml:space="preserve">CRITICAL</t>
  </si>
  <si>
    <t xml:space="preserve">USB Micro-B Data Cable</t>
  </si>
  <si>
    <t xml:space="preserve">USB-A to Micro-B. Must be data cable not charge-only. Min 1m.</t>
  </si>
  <si>
    <t xml:space="preserve">ESP32 programming + serial communication to laptop. Test before demo day — charge-only cables have no data wires.</t>
  </si>
  <si>
    <t xml:space="preserve">Amazon India</t>
  </si>
  <si>
    <t xml:space="preserve">BATTERY PACK — 2S2P Configuration (four 18650 cells)</t>
  </si>
  <si>
    <t xml:space="preserve">18650 Li-ion Cells</t>
  </si>
  <si>
    <t xml:space="preserve">Battery Pack</t>
  </si>
  <si>
    <t xml:space="preserve">Samsung 25R / LG HG2 / Sanyo NCR18650GA. NMC chemistry. 2500–3000mAh. Check voltage before purchase (should read 3.5–3.7V).</t>
  </si>
  <si>
    <t xml:space="preserve">Power source. 2S2P = 7.4V nominal, 8.4V max, 5.0V min. DO NOT buy unbranded cells for a battery safety demo.</t>
  </si>
  <si>
    <t xml:space="preserve">Ritchie Street in person / Evelta.com</t>
  </si>
  <si>
    <t xml:space="preserve">18650 Cell Holder 2S (with wire leads)</t>
  </si>
  <si>
    <t xml:space="preserve">2×18650 inline holder with solder leads. One holder per series group.</t>
  </si>
  <si>
    <t xml:space="preserve">Keeps cells in safe series configuration. Two holders connected in series make the 2S pack.</t>
  </si>
  <si>
    <t xml:space="preserve">Nickel Strip / Thick Wire for parallel connections</t>
  </si>
  <si>
    <t xml:space="preserve">set</t>
  </si>
  <si>
    <t xml:space="preserve">22AWG+ wire or nickel strip for P-group connections inside holders</t>
  </si>
  <si>
    <t xml:space="preserve">Connects the two cells in each parallel group — positive to positive, negative to negative.</t>
  </si>
  <si>
    <t xml:space="preserve">Ritchie Street</t>
  </si>
  <si>
    <t xml:space="preserve">SENSOR LAYER</t>
  </si>
  <si>
    <t xml:space="preserve">NTC Thermistor 10kΩ B=3950</t>
  </si>
  <si>
    <t xml:space="preserve">Sensors</t>
  </si>
  <si>
    <t xml:space="preserve">10kΩ at 25°C, B-value = 3950. Glass bead or epoxy type. Must specify B=3950 — different B-values give wrong temperature readings.</t>
  </si>
  <si>
    <t xml:space="preserve">One per cell (4 needed) + 2 spares. Measures individual cell surface temperature for dT/dt early warning detection.</t>
  </si>
  <si>
    <t xml:space="preserve">Ritchie Street / Robu.in</t>
  </si>
  <si>
    <t xml:space="preserve">INA219 Current Sensor Module (GY-219)</t>
  </si>
  <si>
    <t xml:space="preserve">I2C interface, address 0x40. Built-in 0.1Ω shunt. ±3.2A range, 0.1mA resolution. 12-bit ADC.</t>
  </si>
  <si>
    <t xml:space="preserve">Measures pack charge/discharge current. Placed IN SERIES with pack (not parallel). Detects overcharge current spikes.</t>
  </si>
  <si>
    <t xml:space="preserve">Robu.in / Amazon</t>
  </si>
  <si>
    <t xml:space="preserve">MPU-6050 Accelerometer/Gyro (GY-521)</t>
  </si>
  <si>
    <t xml:space="preserve">6-axis IMU. I2C address 0x68 (AD0 to GND). Configurable g-range ±2/4/8/16g. Set to ±8g for prototype.</t>
  </si>
  <si>
    <t xml:space="preserve">Impact and vibration detection. Mechanical shock can cause separator damage leading to internal short circuit hours later.</t>
  </si>
  <si>
    <t xml:space="preserve">Robu.in / Amazon / Ritchie Street</t>
  </si>
  <si>
    <t xml:space="preserve">RESISTORS — Voltage Dividers + Thermistor Pull-ups + LED + Transistor</t>
  </si>
  <si>
    <t xml:space="preserve">Resistor Kit 600-piece Assorted 1/4W</t>
  </si>
  <si>
    <t xml:space="preserve">Resistors</t>
  </si>
  <si>
    <t xml:space="preserve">kit</t>
  </si>
  <si>
    <t xml:space="preserve">600-piece assorted kit covering all standard values 10Ω to 1MΩ. Metal film preferred for accuracy.</t>
  </si>
  <si>
    <t xml:space="preserve">Covers all resistor values needed: 15k, 33k, 100k, 56k, 10k, 4.7k, 120Ω, 150Ω, 1kΩ. Buying kit is cheaper than individual packs.</t>
  </si>
  <si>
    <t xml:space="preserve">Amazon India / Quartzcomponents</t>
  </si>
  <si>
    <t xml:space="preserve">Resistor 15kΩ 1/4W metal film (extra)</t>
  </si>
  <si>
    <t xml:space="preserve">1/4W, ±1% tolerance. Cell 1 voltage divider top resistor.</t>
  </si>
  <si>
    <t xml:space="preserve">Scales Cell 1 max voltage (4.2V) down to safe ADC level (2.89V). Formula: Vout = 4.2 × 33/(15+33) = 2.89V</t>
  </si>
  <si>
    <t xml:space="preserve">Resistor 33kΩ 1/4W metal film (extra)</t>
  </si>
  <si>
    <t xml:space="preserve">1/4W, ±1% tolerance. Cell 1 voltage divider bottom resistor.</t>
  </si>
  <si>
    <t xml:space="preserve">Bottom resistor of Cell 1 divider. Divider ratio = 33/48 = 0.6875</t>
  </si>
  <si>
    <t xml:space="preserve">Resistor 100kΩ 1/4W metal film (extra)</t>
  </si>
  <si>
    <t xml:space="preserve">1/4W, ±1% tolerance. Pack voltage divider top resistor. High value = low current draw from pack.</t>
  </si>
  <si>
    <t xml:space="preserve">Scales pack max voltage (8.4V) to 3.01V. Formula: Vout = 8.4 × 56/(100+56) = 3.01V</t>
  </si>
  <si>
    <t xml:space="preserve">Resistor 56kΩ 1/4W metal film (extra)</t>
  </si>
  <si>
    <t xml:space="preserve">1/4W, ±1% tolerance. Pack voltage divider bottom resistor.</t>
  </si>
  <si>
    <t xml:space="preserve">Bottom resistor of pack divider. Ratio = 56/156 = 0.359</t>
  </si>
  <si>
    <t xml:space="preserve">OUTPUT LAYER — Relay, LEDs, Buzzer</t>
  </si>
  <si>
    <t xml:space="preserve">5V Single Channel Relay Module</t>
  </si>
  <si>
    <t xml:space="preserve">Outputs</t>
  </si>
  <si>
    <t xml:space="preserve">SRD-05VDC-SL-C relay. Must have optocoupler isolation. Normally Open (NO) contacts. 10A/250VAC contact rating.</t>
  </si>
  <si>
    <t xml:space="preserve">Pack disconnect on Level 4 fault. Normally Open = fail-safe. If ESP32 loses power, GPIO goes LOW, relay opens, pack disconnects automatically.</t>
  </si>
  <si>
    <t xml:space="preserve">LED Yellow 5mm</t>
  </si>
  <si>
    <t xml:space="preserve">5mm standard yellow LED. Vf ≈ 2.1V. Forward current 20mA max.</t>
  </si>
  <si>
    <t xml:space="preserve">Level 1 alert indicator. Use 120Ω resistor: (3.3-2.1)/0.01 = 120Ω. Get extras — they burn during testing.</t>
  </si>
  <si>
    <t xml:space="preserve">REQUIRED</t>
  </si>
  <si>
    <t xml:space="preserve">LED Orange 5mm</t>
  </si>
  <si>
    <t xml:space="preserve">5mm standard orange LED. Vf ≈ 2.0V. Forward current 20mA max.</t>
  </si>
  <si>
    <t xml:space="preserve">Level 2/3 alert indicator. Use 150Ω resistor: (3.3-2.0)/0.01 = 130Ω → 150Ω nearest standard.</t>
  </si>
  <si>
    <t xml:space="preserve">LED Red 5mm</t>
  </si>
  <si>
    <t xml:space="preserve">5mm standard red LED. Vf ≈ 2.0V. Forward current 20mA max.</t>
  </si>
  <si>
    <t xml:space="preserve">Level 4 shutdown indicator. Same resistor as orange. Get extras.</t>
  </si>
  <si>
    <t xml:space="preserve">Passive Buzzer 5V</t>
  </si>
  <si>
    <t xml:space="preserve">PASSIVE type (not active). 5V, ~30mA. Requires PWM signal to generate tone. DO NOT buy active buzzer.</t>
  </si>
  <si>
    <t xml:space="preserve">Audible alarm. Different PWM frequencies = different tones for different fault levels. Passive type required — active type just beeps on DC.</t>
  </si>
  <si>
    <t xml:space="preserve">BC547 NPN Transistor</t>
  </si>
  <si>
    <t xml:space="preserve">BC547 or 2N2222 NPN transistor. TO-92 package. hFE ≥ 110.</t>
  </si>
  <si>
    <t xml:space="preserve">Buzzer driver. GPIO can only source 12mA; buzzer needs 30mA. Transistor amplifies GPIO signal. Base: 1kΩ resistor from GPIO13.</t>
  </si>
  <si>
    <t xml:space="preserve">1N4007 Rectifier Diode</t>
  </si>
  <si>
    <t xml:space="preserve">1N4007 general purpose rectifier. 1A, 1000V PIV.</t>
  </si>
  <si>
    <t xml:space="preserve">Flyback protection across buzzer coil. Prevents voltage spike when buzzer turns off from damaging transistor.</t>
  </si>
  <si>
    <t xml:space="preserve">DISPLAY</t>
  </si>
  <si>
    <t xml:space="preserve">OLED Display 0.96" I2C SSD1306</t>
  </si>
  <si>
    <t xml:space="preserve">Display</t>
  </si>
  <si>
    <t xml:space="preserve">128×64 pixel OLED. I2C interface, address 0x3C. 3.3V or 5V compatible. SSD1306 driver.</t>
  </si>
  <si>
    <t xml:space="preserve">Live readout of cell voltages, temperatures, current, fault status. Third device on I2C bus. Makes system self-explanatory during demo without looking at laptop.</t>
  </si>
  <si>
    <t xml:space="preserve">RECOMMENDED</t>
  </si>
  <si>
    <t xml:space="preserve">PROTOTYPING HARDWARE</t>
  </si>
  <si>
    <t xml:space="preserve">Full-Size Breadboard 830 tie-point</t>
  </si>
  <si>
    <t xml:space="preserve">Prototyping</t>
  </si>
  <si>
    <t xml:space="preserve">830 tie-point solderless breadboard. Full size. Do NOT use mini breadboard — not enough space.</t>
  </si>
  <si>
    <t xml:space="preserve">One for sensing circuits, one for output circuits. Do not cram everything on one board.</t>
  </si>
  <si>
    <t xml:space="preserve">Amazon / Ritchie Street</t>
  </si>
  <si>
    <t xml:space="preserve">Jumper Wire Kit Male-Male 65pc</t>
  </si>
  <si>
    <t xml:space="preserve">65-piece male-to-male jumper wires, assorted lengths.</t>
  </si>
  <si>
    <t xml:space="preserve">Breadboard to breadboard and component to component connections.</t>
  </si>
  <si>
    <t xml:space="preserve">Jumper Wire Kit Male-Female 40pc</t>
  </si>
  <si>
    <t xml:space="preserve">40-piece male-to-female jumper wires.</t>
  </si>
  <si>
    <t xml:space="preserve">Connecting sensor modules (INA219, MPU-6050, OLED) which have header pins to breadboard.</t>
  </si>
  <si>
    <t xml:space="preserve">Thermal Adhesive Tape (double-sided)</t>
  </si>
  <si>
    <t xml:space="preserve">roll</t>
  </si>
  <si>
    <t xml:space="preserve">Thermally conductive double-sided adhesive tape. Any brand.</t>
  </si>
  <si>
    <t xml:space="preserve">CRITICAL for accurate temperature readings. Mounts thermistors flat against cell surface. Thermistor in air reads air temperature, not cell temperature.</t>
  </si>
  <si>
    <t xml:space="preserve">Small Cable Ties / Zip Ties</t>
  </si>
  <si>
    <t xml:space="preserve">pack</t>
  </si>
  <si>
    <t xml:space="preserve">Small zip ties, mixed size pack.</t>
  </si>
  <si>
    <t xml:space="preserve">Securing wires to cells as backup to thermal tape. Keeps wiring tidy on demo day.</t>
  </si>
  <si>
    <t xml:space="preserve">Amazon / Stationery shop</t>
  </si>
  <si>
    <t xml:space="preserve">Multimeter</t>
  </si>
  <si>
    <t xml:space="preserve">Basic digital multimeter. DC voltage, continuity, resistance. Any brand.</t>
  </si>
  <si>
    <t xml:space="preserve">Testing every circuit before connecting cells. Non-negotiable safety tool. Check voltage divider output before cells connect.</t>
  </si>
  <si>
    <t xml:space="preserve">  MINIMUM BUILD ESTIMATE (cells at low end, no OLED)</t>
  </si>
  <si>
    <t xml:space="preserve">~₹2,800</t>
  </si>
  <si>
    <t xml:space="preserve">  RECOMMENDED BUILD (good cells + OLED + spares)</t>
  </si>
  <si>
    <t xml:space="preserve">~₹3,500</t>
  </si>
  <si>
    <t xml:space="preserve">  TOTAL BUDGET</t>
  </si>
  <si>
    <t xml:space="preserve">₹6,000</t>
  </si>
  <si>
    <t xml:space="preserve">  REMAINING BUFFER (spares / replacements / last minute)</t>
  </si>
  <si>
    <t xml:space="preserve">~₹2,500</t>
  </si>
  <si>
    <t xml:space="preserve">SENTINEL — Critical Build Notes</t>
  </si>
  <si>
    <t xml:space="preserve">SAFETY RULE #1</t>
  </si>
  <si>
    <t xml:space="preserve">Test every circuit before connecting cells. A wiring mistake without cells = 30-second fix. A wiring mistake with cells connected = fire hazard and dead ESP32.</t>
  </si>
  <si>
    <t xml:space="preserve">SAFETY RULE #2</t>
  </si>
  <si>
    <t xml:space="preserve">Check cell voltage with multimeter before buying. Should read 3.5–3.7V resting. Below 2.5V = damaged cell, do not use.</t>
  </si>
  <si>
    <t xml:space="preserve">SAFETY RULE #3</t>
  </si>
  <si>
    <t xml:space="preserve">Never short circuit B+ and B-. Wire protection circuits (relay, fuse) before connecting cells.</t>
  </si>
  <si>
    <t xml:space="preserve">RELAY — Why Normally Open</t>
  </si>
  <si>
    <t xml:space="preserve">NO contacts are OPEN when relay is not energised. GPIO26 LOW = relay off = pack disconnected = safe state. If ESP32 crashes or loses power, pack disconnects automatically. This is the correct fail-safe design.</t>
  </si>
  <si>
    <t xml:space="preserve">BUZZER — Must be PASSIVE type</t>
  </si>
  <si>
    <t xml:space="preserve">Active buzzer beeps on DC voltage (internal oscillator). Passive buzzer requires PWM signal from MCU to generate tone. We need passive so different frequencies = different fault level alerts. If unsure, buy both for ₹60 total and test.</t>
  </si>
  <si>
    <t xml:space="preserve">THERMISTOR — B=3950 required</t>
  </si>
  <si>
    <t xml:space="preserve">The B-value determines the resistance-temperature curve. Different B-value = wrong temperature readings. Ask specifically for NTC 10K B=3950. Do not substitute.</t>
  </si>
  <si>
    <t xml:space="preserve">USB CABLE — Must be data cable</t>
  </si>
  <si>
    <t xml:space="preserve">Cheap USB cables are charge-only (no data wires). ESP32 will not show as serial port on laptop. Buy one that explicitly says data cable. Test before demo day.</t>
  </si>
  <si>
    <t xml:space="preserve">RESISTORS — Buy a kit</t>
  </si>
  <si>
    <t xml:space="preserve">Do not buy individual resistor packs. One 600-piece assorted 1/4W kit from Amazon covers every value needed and gives extras. ₹120 vs ₹300+ for individual packs.</t>
  </si>
  <si>
    <t xml:space="preserve">18650 CELLS — Buy known brands</t>
  </si>
  <si>
    <t xml:space="preserve">Unbranded 18650 cells have unknown capacity and unknown safety. For a BATTERY SAFETY DEMO you need predictable cell behaviour. Buy Samsung 25R, LG HG2, or Sanyo cells. Check voltage before paying.</t>
  </si>
  <si>
    <t xml:space="preserve">ADC RULE — ADC1 only</t>
  </si>
  <si>
    <t xml:space="preserve">Never use ADC2 pins (GPIO0, 2, 4, 12-15, 25-27) for analog reading. ADC2 conflicts with ESP32 WiFi radio and gives erratic readings. All 6 analog inputs (voltage dividers + thermistors) must be on ADC1 (GPIO32-39).</t>
  </si>
  <si>
    <t xml:space="preserve">ADC RULE — 3.3V maximum</t>
  </si>
  <si>
    <t xml:space="preserve">ESP32 ADC pins accept 0 to 3.3V MAXIMUM. Any voltage above 3.3V on an ADC pin permanently damages it. Always verify voltage divider output with multimeter before connecting to ESP32.</t>
  </si>
  <si>
    <t xml:space="preserve">I2C ADDRESSES</t>
  </si>
  <si>
    <t xml:space="preserve">INA219 = 0x40 (A0, A1 to GND). MPU-6050 = 0x68 (AD0 to GND). OLED = 0x3C. All three share GPIO21 (SDA) and GPIO22 (SCL). Different addresses = no conflict on shared bus.</t>
  </si>
  <si>
    <t xml:space="preserve">WHERE TO BUY — Chennai</t>
  </si>
  <si>
    <t xml:space="preserve">Ritchie Street for passive components, cells, modules in person. Check cell voltage before buying.</t>
  </si>
  <si>
    <t xml:space="preserve">WHERE TO BUY — Online</t>
  </si>
  <si>
    <t xml:space="preserve">Robu.in for modules (ESP32, INA219, MPU-6050, OLED, relay). Amazon for breadboards, wires, thermal tape. Quartzcomponents.com for passives in bulk.</t>
  </si>
  <si>
    <t xml:space="preserve">CELLS DELIVERY TIME</t>
  </si>
  <si>
    <t xml:space="preserve">Order 18650 cells first — longest lead time if not available at Ritchie Street. Evelta.com or Robu.in for genuine cells online.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</si>
</sst>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0F27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0"/>
      <color rgb="FF0F2744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9"/>
      <color rgb="FF374151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0F766E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11"/>
      <color rgb="FF0F2744"/>
      <name val="Arial"/>
      <family val="0"/>
      <charset val="1"/>
    </font>
    <font>
      <b val="true"/>
      <sz val="13"/>
      <color rgb="FF0F27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3"/>
      <color rgb="FF15803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15803D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2744"/>
        <bgColor rgb="FF1F2937"/>
      </patternFill>
    </fill>
    <fill>
      <patternFill patternType="solid">
        <fgColor rgb="FF1D4ED8"/>
        <bgColor rgb="FF3366FF"/>
      </patternFill>
    </fill>
    <fill>
      <patternFill patternType="solid">
        <fgColor rgb="FFDBEAFE"/>
        <bgColor rgb="FFF1F5F9"/>
      </patternFill>
    </fill>
    <fill>
      <patternFill patternType="solid">
        <fgColor rgb="FF1E3A5F"/>
        <bgColor rgb="FF374151"/>
      </patternFill>
    </fill>
    <fill>
      <patternFill patternType="solid">
        <fgColor rgb="FFFFFFFF"/>
        <bgColor rgb="FFF1F5F9"/>
      </patternFill>
    </fill>
    <fill>
      <patternFill patternType="solid">
        <fgColor rgb="FFFEE2E2"/>
        <bgColor rgb="FFFEF3C7"/>
      </patternFill>
    </fill>
    <fill>
      <patternFill patternType="solid">
        <fgColor rgb="FFF1F5F9"/>
        <bgColor rgb="FFFFFFFF"/>
      </patternFill>
    </fill>
    <fill>
      <patternFill patternType="solid">
        <fgColor rgb="FFBFDBFE"/>
        <bgColor rgb="FFCBD5E1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F1F5F9"/>
      </patternFill>
    </fill>
    <fill>
      <patternFill patternType="solid">
        <fgColor rgb="FF93C5FD"/>
        <bgColor rgb="FFBFDBFE"/>
      </patternFill>
    </fill>
    <fill>
      <patternFill patternType="solid">
        <fgColor rgb="FF60A5FA"/>
        <bgColor rgb="FF94A3B8"/>
      </patternFill>
    </fill>
    <fill>
      <patternFill patternType="solid">
        <fgColor rgb="FF15803D"/>
        <bgColor rgb="FF0F766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 diagonalUp="false" diagonalDown="false">
      <left style="medium">
        <color rgb="FF0F2744"/>
      </left>
      <right/>
      <top style="medium">
        <color rgb="FF0F2744"/>
      </top>
      <bottom style="medium">
        <color rgb="FF0F2744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medium">
        <color rgb="FF0F2744"/>
      </right>
      <top style="medium">
        <color rgb="FF0F2744"/>
      </top>
      <bottom style="medium">
        <color rgb="FF0F2744"/>
      </bottom>
      <diagonal/>
    </border>
    <border diagonalUp="false" diagonalDown="false">
      <left/>
      <right style="thin">
        <color rgb="FFCBD5E1"/>
      </right>
      <top style="medium">
        <color rgb="FF0F2744"/>
      </top>
      <bottom style="medium">
        <color rgb="FF0F2744"/>
      </bottom>
      <diagonal/>
    </border>
    <border diagonalUp="false" diagonalDown="false">
      <left/>
      <right style="medium">
        <color rgb="FF0F2744"/>
      </right>
      <top style="medium">
        <color rgb="FF0F2744"/>
      </top>
      <bottom style="medium">
        <color rgb="FF0F27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19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2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23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BFDBFE"/>
      <rgbColor rgb="FF808080"/>
      <rgbColor rgb="FF60A5FA"/>
      <rgbColor rgb="FFB45309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F99"/>
      <rgbColor rgb="FF93C5FD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0F2744"/>
      <rgbColor rgb="FF339966"/>
      <rgbColor rgb="FF0F172A"/>
      <rgbColor rgb="FF374151"/>
      <rgbColor rgb="FFB91C1C"/>
      <rgbColor rgb="FF993366"/>
      <rgbColor rgb="FF1E3A5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21.75" hidden="false" customHeight="true" outlineLevel="0" collapsed="false">
      <c r="A5" s="5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39.75" hidden="false" customHeight="true" outlineLevel="0" collapsed="false">
      <c r="A6" s="6" t="n">
        <v>1</v>
      </c>
      <c r="B6" s="7" t="s">
        <v>15</v>
      </c>
      <c r="C6" s="8" t="s">
        <v>16</v>
      </c>
      <c r="D6" s="9" t="n">
        <v>1</v>
      </c>
      <c r="E6" s="8" t="s">
        <v>17</v>
      </c>
      <c r="F6" s="10" t="s">
        <v>18</v>
      </c>
      <c r="G6" s="10" t="s">
        <v>19</v>
      </c>
      <c r="H6" s="11" t="n">
        <v>450</v>
      </c>
      <c r="I6" s="12" t="n">
        <f aca="false">D6*H6</f>
        <v>450</v>
      </c>
      <c r="J6" s="13" t="s">
        <v>20</v>
      </c>
      <c r="K6" s="14" t="s">
        <v>21</v>
      </c>
    </row>
    <row r="7" customFormat="false" ht="39.75" hidden="false" customHeight="true" outlineLevel="0" collapsed="false">
      <c r="A7" s="15" t="n">
        <v>2</v>
      </c>
      <c r="B7" s="16" t="s">
        <v>22</v>
      </c>
      <c r="C7" s="17" t="s">
        <v>16</v>
      </c>
      <c r="D7" s="18" t="n">
        <v>1</v>
      </c>
      <c r="E7" s="17" t="s">
        <v>17</v>
      </c>
      <c r="F7" s="19" t="s">
        <v>23</v>
      </c>
      <c r="G7" s="19" t="s">
        <v>24</v>
      </c>
      <c r="H7" s="20" t="n">
        <v>100</v>
      </c>
      <c r="I7" s="21" t="n">
        <f aca="false">D7*H7</f>
        <v>100</v>
      </c>
      <c r="J7" s="22" t="s">
        <v>25</v>
      </c>
      <c r="K7" s="14" t="s">
        <v>21</v>
      </c>
    </row>
    <row r="8" customFormat="false" ht="21.75" hidden="false" customHeight="true" outlineLevel="0" collapsed="false">
      <c r="A8" s="5" t="s">
        <v>26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39.75" hidden="false" customHeight="true" outlineLevel="0" collapsed="false">
      <c r="A9" s="6" t="n">
        <v>3</v>
      </c>
      <c r="B9" s="7" t="s">
        <v>27</v>
      </c>
      <c r="C9" s="8" t="s">
        <v>28</v>
      </c>
      <c r="D9" s="9" t="n">
        <v>4</v>
      </c>
      <c r="E9" s="8" t="s">
        <v>17</v>
      </c>
      <c r="F9" s="10" t="s">
        <v>29</v>
      </c>
      <c r="G9" s="10" t="s">
        <v>30</v>
      </c>
      <c r="H9" s="11" t="n">
        <v>400</v>
      </c>
      <c r="I9" s="12" t="n">
        <f aca="false">D9*H9</f>
        <v>1600</v>
      </c>
      <c r="J9" s="13" t="s">
        <v>31</v>
      </c>
      <c r="K9" s="14" t="s">
        <v>21</v>
      </c>
    </row>
    <row r="10" customFormat="false" ht="39.75" hidden="false" customHeight="true" outlineLevel="0" collapsed="false">
      <c r="A10" s="15" t="n">
        <v>4</v>
      </c>
      <c r="B10" s="16" t="s">
        <v>32</v>
      </c>
      <c r="C10" s="17" t="s">
        <v>28</v>
      </c>
      <c r="D10" s="18" t="n">
        <v>2</v>
      </c>
      <c r="E10" s="17" t="s">
        <v>17</v>
      </c>
      <c r="F10" s="19" t="s">
        <v>33</v>
      </c>
      <c r="G10" s="19" t="s">
        <v>34</v>
      </c>
      <c r="H10" s="20" t="n">
        <v>70</v>
      </c>
      <c r="I10" s="21" t="n">
        <f aca="false">D10*H10</f>
        <v>140</v>
      </c>
      <c r="J10" s="22" t="s">
        <v>20</v>
      </c>
      <c r="K10" s="14" t="s">
        <v>21</v>
      </c>
    </row>
    <row r="11" customFormat="false" ht="39.75" hidden="false" customHeight="true" outlineLevel="0" collapsed="false">
      <c r="A11" s="6" t="n">
        <v>5</v>
      </c>
      <c r="B11" s="7" t="s">
        <v>35</v>
      </c>
      <c r="C11" s="8" t="s">
        <v>28</v>
      </c>
      <c r="D11" s="9" t="n">
        <v>1</v>
      </c>
      <c r="E11" s="8" t="s">
        <v>36</v>
      </c>
      <c r="F11" s="10" t="s">
        <v>37</v>
      </c>
      <c r="G11" s="10" t="s">
        <v>38</v>
      </c>
      <c r="H11" s="11" t="n">
        <v>50</v>
      </c>
      <c r="I11" s="12" t="n">
        <f aca="false">D11*H11</f>
        <v>50</v>
      </c>
      <c r="J11" s="13" t="s">
        <v>39</v>
      </c>
      <c r="K11" s="14" t="s">
        <v>21</v>
      </c>
    </row>
    <row r="12" customFormat="false" ht="21.75" hidden="false" customHeight="true" outlineLevel="0" collapsed="false">
      <c r="A12" s="5" t="s">
        <v>40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39.75" hidden="false" customHeight="true" outlineLevel="0" collapsed="false">
      <c r="A13" s="6" t="n">
        <v>6</v>
      </c>
      <c r="B13" s="7" t="s">
        <v>41</v>
      </c>
      <c r="C13" s="8" t="s">
        <v>42</v>
      </c>
      <c r="D13" s="9" t="n">
        <v>6</v>
      </c>
      <c r="E13" s="8" t="s">
        <v>17</v>
      </c>
      <c r="F13" s="10" t="s">
        <v>43</v>
      </c>
      <c r="G13" s="10" t="s">
        <v>44</v>
      </c>
      <c r="H13" s="11" t="n">
        <v>20</v>
      </c>
      <c r="I13" s="12" t="n">
        <f aca="false">D13*H13</f>
        <v>120</v>
      </c>
      <c r="J13" s="13" t="s">
        <v>45</v>
      </c>
      <c r="K13" s="14" t="s">
        <v>21</v>
      </c>
    </row>
    <row r="14" customFormat="false" ht="39.75" hidden="false" customHeight="true" outlineLevel="0" collapsed="false">
      <c r="A14" s="15" t="n">
        <v>7</v>
      </c>
      <c r="B14" s="16" t="s">
        <v>46</v>
      </c>
      <c r="C14" s="17" t="s">
        <v>42</v>
      </c>
      <c r="D14" s="18" t="n">
        <v>1</v>
      </c>
      <c r="E14" s="17" t="s">
        <v>17</v>
      </c>
      <c r="F14" s="19" t="s">
        <v>47</v>
      </c>
      <c r="G14" s="19" t="s">
        <v>48</v>
      </c>
      <c r="H14" s="20" t="n">
        <v>150</v>
      </c>
      <c r="I14" s="21" t="n">
        <f aca="false">D14*H14</f>
        <v>150</v>
      </c>
      <c r="J14" s="22" t="s">
        <v>49</v>
      </c>
      <c r="K14" s="14" t="s">
        <v>21</v>
      </c>
    </row>
    <row r="15" customFormat="false" ht="39.75" hidden="false" customHeight="true" outlineLevel="0" collapsed="false">
      <c r="A15" s="6" t="n">
        <v>8</v>
      </c>
      <c r="B15" s="7" t="s">
        <v>50</v>
      </c>
      <c r="C15" s="8" t="s">
        <v>42</v>
      </c>
      <c r="D15" s="9" t="n">
        <v>1</v>
      </c>
      <c r="E15" s="8" t="s">
        <v>17</v>
      </c>
      <c r="F15" s="10" t="s">
        <v>51</v>
      </c>
      <c r="G15" s="10" t="s">
        <v>52</v>
      </c>
      <c r="H15" s="11" t="n">
        <v>100</v>
      </c>
      <c r="I15" s="12" t="n">
        <f aca="false">D15*H15</f>
        <v>100</v>
      </c>
      <c r="J15" s="13" t="s">
        <v>53</v>
      </c>
      <c r="K15" s="14" t="s">
        <v>21</v>
      </c>
    </row>
    <row r="16" customFormat="false" ht="21.75" hidden="false" customHeight="true" outlineLevel="0" collapsed="false">
      <c r="A16" s="5" t="s">
        <v>54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39.75" hidden="false" customHeight="true" outlineLevel="0" collapsed="false">
      <c r="A17" s="6" t="n">
        <v>9</v>
      </c>
      <c r="B17" s="7" t="s">
        <v>55</v>
      </c>
      <c r="C17" s="8" t="s">
        <v>56</v>
      </c>
      <c r="D17" s="9" t="n">
        <v>1</v>
      </c>
      <c r="E17" s="8" t="s">
        <v>57</v>
      </c>
      <c r="F17" s="10" t="s">
        <v>58</v>
      </c>
      <c r="G17" s="10" t="s">
        <v>59</v>
      </c>
      <c r="H17" s="11" t="n">
        <v>120</v>
      </c>
      <c r="I17" s="12" t="n">
        <f aca="false">D17*H17</f>
        <v>120</v>
      </c>
      <c r="J17" s="13" t="s">
        <v>60</v>
      </c>
      <c r="K17" s="14" t="s">
        <v>21</v>
      </c>
    </row>
    <row r="18" customFormat="false" ht="39.75" hidden="false" customHeight="true" outlineLevel="0" collapsed="false">
      <c r="A18" s="15" t="n">
        <v>10</v>
      </c>
      <c r="B18" s="16" t="s">
        <v>61</v>
      </c>
      <c r="C18" s="17" t="s">
        <v>56</v>
      </c>
      <c r="D18" s="18" t="n">
        <v>5</v>
      </c>
      <c r="E18" s="17" t="s">
        <v>17</v>
      </c>
      <c r="F18" s="19" t="s">
        <v>62</v>
      </c>
      <c r="G18" s="19" t="s">
        <v>63</v>
      </c>
      <c r="H18" s="20" t="n">
        <v>3</v>
      </c>
      <c r="I18" s="21" t="n">
        <f aca="false">D18*H18</f>
        <v>15</v>
      </c>
      <c r="J18" s="22" t="s">
        <v>39</v>
      </c>
      <c r="K18" s="14" t="s">
        <v>21</v>
      </c>
    </row>
    <row r="19" customFormat="false" ht="39.75" hidden="false" customHeight="true" outlineLevel="0" collapsed="false">
      <c r="A19" s="6" t="n">
        <v>11</v>
      </c>
      <c r="B19" s="7" t="s">
        <v>64</v>
      </c>
      <c r="C19" s="8" t="s">
        <v>56</v>
      </c>
      <c r="D19" s="9" t="n">
        <v>5</v>
      </c>
      <c r="E19" s="8" t="s">
        <v>17</v>
      </c>
      <c r="F19" s="10" t="s">
        <v>65</v>
      </c>
      <c r="G19" s="10" t="s">
        <v>66</v>
      </c>
      <c r="H19" s="11" t="n">
        <v>3</v>
      </c>
      <c r="I19" s="12" t="n">
        <f aca="false">D19*H19</f>
        <v>15</v>
      </c>
      <c r="J19" s="13" t="s">
        <v>39</v>
      </c>
      <c r="K19" s="14" t="s">
        <v>21</v>
      </c>
    </row>
    <row r="20" customFormat="false" ht="39.75" hidden="false" customHeight="true" outlineLevel="0" collapsed="false">
      <c r="A20" s="15" t="n">
        <v>12</v>
      </c>
      <c r="B20" s="16" t="s">
        <v>67</v>
      </c>
      <c r="C20" s="17" t="s">
        <v>56</v>
      </c>
      <c r="D20" s="18" t="n">
        <v>5</v>
      </c>
      <c r="E20" s="17" t="s">
        <v>17</v>
      </c>
      <c r="F20" s="19" t="s">
        <v>68</v>
      </c>
      <c r="G20" s="19" t="s">
        <v>69</v>
      </c>
      <c r="H20" s="20" t="n">
        <v>3</v>
      </c>
      <c r="I20" s="21" t="n">
        <f aca="false">D20*H20</f>
        <v>15</v>
      </c>
      <c r="J20" s="22" t="s">
        <v>39</v>
      </c>
      <c r="K20" s="14" t="s">
        <v>21</v>
      </c>
    </row>
    <row r="21" customFormat="false" ht="39.75" hidden="false" customHeight="true" outlineLevel="0" collapsed="false">
      <c r="A21" s="6" t="n">
        <v>13</v>
      </c>
      <c r="B21" s="7" t="s">
        <v>70</v>
      </c>
      <c r="C21" s="8" t="s">
        <v>56</v>
      </c>
      <c r="D21" s="9" t="n">
        <v>5</v>
      </c>
      <c r="E21" s="8" t="s">
        <v>17</v>
      </c>
      <c r="F21" s="10" t="s">
        <v>71</v>
      </c>
      <c r="G21" s="10" t="s">
        <v>72</v>
      </c>
      <c r="H21" s="11" t="n">
        <v>3</v>
      </c>
      <c r="I21" s="12" t="n">
        <f aca="false">D21*H21</f>
        <v>15</v>
      </c>
      <c r="J21" s="13" t="s">
        <v>39</v>
      </c>
      <c r="K21" s="14" t="s">
        <v>21</v>
      </c>
    </row>
    <row r="22" customFormat="false" ht="21.75" hidden="false" customHeight="true" outlineLevel="0" collapsed="false">
      <c r="A22" s="5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39.75" hidden="false" customHeight="true" outlineLevel="0" collapsed="false">
      <c r="A23" s="6" t="n">
        <v>14</v>
      </c>
      <c r="B23" s="7" t="s">
        <v>74</v>
      </c>
      <c r="C23" s="8" t="s">
        <v>75</v>
      </c>
      <c r="D23" s="9" t="n">
        <v>1</v>
      </c>
      <c r="E23" s="8" t="s">
        <v>17</v>
      </c>
      <c r="F23" s="10" t="s">
        <v>76</v>
      </c>
      <c r="G23" s="10" t="s">
        <v>77</v>
      </c>
      <c r="H23" s="11" t="n">
        <v>60</v>
      </c>
      <c r="I23" s="12" t="n">
        <f aca="false">D23*H23</f>
        <v>60</v>
      </c>
      <c r="J23" s="13" t="s">
        <v>20</v>
      </c>
      <c r="K23" s="14" t="s">
        <v>21</v>
      </c>
    </row>
    <row r="24" customFormat="false" ht="39.75" hidden="false" customHeight="true" outlineLevel="0" collapsed="false">
      <c r="A24" s="15" t="n">
        <v>15</v>
      </c>
      <c r="B24" s="16" t="s">
        <v>78</v>
      </c>
      <c r="C24" s="17" t="s">
        <v>75</v>
      </c>
      <c r="D24" s="18" t="n">
        <v>3</v>
      </c>
      <c r="E24" s="17" t="s">
        <v>17</v>
      </c>
      <c r="F24" s="19" t="s">
        <v>79</v>
      </c>
      <c r="G24" s="19" t="s">
        <v>80</v>
      </c>
      <c r="H24" s="20" t="n">
        <v>8</v>
      </c>
      <c r="I24" s="21" t="n">
        <f aca="false">D24*H24</f>
        <v>24</v>
      </c>
      <c r="J24" s="22" t="s">
        <v>39</v>
      </c>
      <c r="K24" s="23" t="s">
        <v>81</v>
      </c>
    </row>
    <row r="25" customFormat="false" ht="39.75" hidden="false" customHeight="true" outlineLevel="0" collapsed="false">
      <c r="A25" s="6" t="n">
        <v>16</v>
      </c>
      <c r="B25" s="7" t="s">
        <v>82</v>
      </c>
      <c r="C25" s="8" t="s">
        <v>75</v>
      </c>
      <c r="D25" s="9" t="n">
        <v>3</v>
      </c>
      <c r="E25" s="8" t="s">
        <v>17</v>
      </c>
      <c r="F25" s="10" t="s">
        <v>83</v>
      </c>
      <c r="G25" s="10" t="s">
        <v>84</v>
      </c>
      <c r="H25" s="11" t="n">
        <v>8</v>
      </c>
      <c r="I25" s="12" t="n">
        <f aca="false">D25*H25</f>
        <v>24</v>
      </c>
      <c r="J25" s="13" t="s">
        <v>39</v>
      </c>
      <c r="K25" s="23" t="s">
        <v>81</v>
      </c>
    </row>
    <row r="26" customFormat="false" ht="39.75" hidden="false" customHeight="true" outlineLevel="0" collapsed="false">
      <c r="A26" s="15" t="n">
        <v>17</v>
      </c>
      <c r="B26" s="16" t="s">
        <v>85</v>
      </c>
      <c r="C26" s="17" t="s">
        <v>75</v>
      </c>
      <c r="D26" s="18" t="n">
        <v>3</v>
      </c>
      <c r="E26" s="17" t="s">
        <v>17</v>
      </c>
      <c r="F26" s="19" t="s">
        <v>86</v>
      </c>
      <c r="G26" s="19" t="s">
        <v>87</v>
      </c>
      <c r="H26" s="20" t="n">
        <v>8</v>
      </c>
      <c r="I26" s="21" t="n">
        <f aca="false">D26*H26</f>
        <v>24</v>
      </c>
      <c r="J26" s="22" t="s">
        <v>39</v>
      </c>
      <c r="K26" s="23" t="s">
        <v>81</v>
      </c>
    </row>
    <row r="27" customFormat="false" ht="39.75" hidden="false" customHeight="true" outlineLevel="0" collapsed="false">
      <c r="A27" s="6" t="n">
        <v>18</v>
      </c>
      <c r="B27" s="7" t="s">
        <v>88</v>
      </c>
      <c r="C27" s="8" t="s">
        <v>75</v>
      </c>
      <c r="D27" s="9" t="n">
        <v>2</v>
      </c>
      <c r="E27" s="8" t="s">
        <v>17</v>
      </c>
      <c r="F27" s="10" t="s">
        <v>89</v>
      </c>
      <c r="G27" s="10" t="s">
        <v>90</v>
      </c>
      <c r="H27" s="11" t="n">
        <v>30</v>
      </c>
      <c r="I27" s="12" t="n">
        <f aca="false">D27*H27</f>
        <v>60</v>
      </c>
      <c r="J27" s="13" t="s">
        <v>45</v>
      </c>
      <c r="K27" s="23" t="s">
        <v>81</v>
      </c>
    </row>
    <row r="28" customFormat="false" ht="39.75" hidden="false" customHeight="true" outlineLevel="0" collapsed="false">
      <c r="A28" s="15" t="n">
        <v>19</v>
      </c>
      <c r="B28" s="16" t="s">
        <v>91</v>
      </c>
      <c r="C28" s="17" t="s">
        <v>75</v>
      </c>
      <c r="D28" s="18" t="n">
        <v>5</v>
      </c>
      <c r="E28" s="17" t="s">
        <v>17</v>
      </c>
      <c r="F28" s="19" t="s">
        <v>92</v>
      </c>
      <c r="G28" s="19" t="s">
        <v>93</v>
      </c>
      <c r="H28" s="20" t="n">
        <v>8</v>
      </c>
      <c r="I28" s="21" t="n">
        <f aca="false">D28*H28</f>
        <v>40</v>
      </c>
      <c r="J28" s="22" t="s">
        <v>39</v>
      </c>
      <c r="K28" s="23" t="s">
        <v>81</v>
      </c>
    </row>
    <row r="29" customFormat="false" ht="39.75" hidden="false" customHeight="true" outlineLevel="0" collapsed="false">
      <c r="A29" s="6" t="n">
        <v>20</v>
      </c>
      <c r="B29" s="7" t="s">
        <v>94</v>
      </c>
      <c r="C29" s="8" t="s">
        <v>75</v>
      </c>
      <c r="D29" s="9" t="n">
        <v>5</v>
      </c>
      <c r="E29" s="8" t="s">
        <v>17</v>
      </c>
      <c r="F29" s="10" t="s">
        <v>95</v>
      </c>
      <c r="G29" s="10" t="s">
        <v>96</v>
      </c>
      <c r="H29" s="11" t="n">
        <v>5</v>
      </c>
      <c r="I29" s="12" t="n">
        <f aca="false">D29*H29</f>
        <v>25</v>
      </c>
      <c r="J29" s="13" t="s">
        <v>39</v>
      </c>
      <c r="K29" s="23" t="s">
        <v>81</v>
      </c>
    </row>
    <row r="30" customFormat="false" ht="21.75" hidden="false" customHeight="true" outlineLevel="0" collapsed="false">
      <c r="A30" s="5" t="s">
        <v>97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39.75" hidden="false" customHeight="true" outlineLevel="0" collapsed="false">
      <c r="A31" s="6" t="n">
        <v>21</v>
      </c>
      <c r="B31" s="7" t="s">
        <v>98</v>
      </c>
      <c r="C31" s="8" t="s">
        <v>99</v>
      </c>
      <c r="D31" s="9" t="n">
        <v>1</v>
      </c>
      <c r="E31" s="8" t="s">
        <v>17</v>
      </c>
      <c r="F31" s="10" t="s">
        <v>100</v>
      </c>
      <c r="G31" s="10" t="s">
        <v>101</v>
      </c>
      <c r="H31" s="11" t="n">
        <v>180</v>
      </c>
      <c r="I31" s="12" t="n">
        <f aca="false">D31*H31</f>
        <v>180</v>
      </c>
      <c r="J31" s="13" t="s">
        <v>49</v>
      </c>
      <c r="K31" s="24" t="s">
        <v>102</v>
      </c>
    </row>
    <row r="32" customFormat="false" ht="21.75" hidden="false" customHeight="true" outlineLevel="0" collapsed="false">
      <c r="A32" s="5" t="s">
        <v>103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39.75" hidden="false" customHeight="true" outlineLevel="0" collapsed="false">
      <c r="A33" s="6" t="n">
        <v>22</v>
      </c>
      <c r="B33" s="7" t="s">
        <v>104</v>
      </c>
      <c r="C33" s="8" t="s">
        <v>105</v>
      </c>
      <c r="D33" s="9" t="n">
        <v>2</v>
      </c>
      <c r="E33" s="8" t="s">
        <v>17</v>
      </c>
      <c r="F33" s="10" t="s">
        <v>106</v>
      </c>
      <c r="G33" s="10" t="s">
        <v>107</v>
      </c>
      <c r="H33" s="11" t="n">
        <v>100</v>
      </c>
      <c r="I33" s="12" t="n">
        <f aca="false">D33*H33</f>
        <v>200</v>
      </c>
      <c r="J33" s="13" t="s">
        <v>108</v>
      </c>
      <c r="K33" s="14" t="s">
        <v>21</v>
      </c>
    </row>
    <row r="34" customFormat="false" ht="39.75" hidden="false" customHeight="true" outlineLevel="0" collapsed="false">
      <c r="A34" s="15" t="n">
        <v>23</v>
      </c>
      <c r="B34" s="16" t="s">
        <v>109</v>
      </c>
      <c r="C34" s="17" t="s">
        <v>105</v>
      </c>
      <c r="D34" s="18" t="n">
        <v>1</v>
      </c>
      <c r="E34" s="17" t="s">
        <v>36</v>
      </c>
      <c r="F34" s="19" t="s">
        <v>110</v>
      </c>
      <c r="G34" s="19" t="s">
        <v>111</v>
      </c>
      <c r="H34" s="20" t="n">
        <v>80</v>
      </c>
      <c r="I34" s="21" t="n">
        <f aca="false">D34*H34</f>
        <v>80</v>
      </c>
      <c r="J34" s="22" t="s">
        <v>25</v>
      </c>
      <c r="K34" s="14" t="s">
        <v>21</v>
      </c>
    </row>
    <row r="35" customFormat="false" ht="39.75" hidden="false" customHeight="true" outlineLevel="0" collapsed="false">
      <c r="A35" s="6" t="n">
        <v>24</v>
      </c>
      <c r="B35" s="7" t="s">
        <v>112</v>
      </c>
      <c r="C35" s="8" t="s">
        <v>105</v>
      </c>
      <c r="D35" s="9" t="n">
        <v>1</v>
      </c>
      <c r="E35" s="8" t="s">
        <v>36</v>
      </c>
      <c r="F35" s="10" t="s">
        <v>113</v>
      </c>
      <c r="G35" s="10" t="s">
        <v>114</v>
      </c>
      <c r="H35" s="11" t="n">
        <v>80</v>
      </c>
      <c r="I35" s="12" t="n">
        <f aca="false">D35*H35</f>
        <v>80</v>
      </c>
      <c r="J35" s="13" t="s">
        <v>25</v>
      </c>
      <c r="K35" s="14" t="s">
        <v>21</v>
      </c>
    </row>
    <row r="36" customFormat="false" ht="39.75" hidden="false" customHeight="true" outlineLevel="0" collapsed="false">
      <c r="A36" s="15" t="n">
        <v>25</v>
      </c>
      <c r="B36" s="16" t="s">
        <v>115</v>
      </c>
      <c r="C36" s="17" t="s">
        <v>105</v>
      </c>
      <c r="D36" s="18" t="n">
        <v>1</v>
      </c>
      <c r="E36" s="17" t="s">
        <v>116</v>
      </c>
      <c r="F36" s="19" t="s">
        <v>117</v>
      </c>
      <c r="G36" s="19" t="s">
        <v>118</v>
      </c>
      <c r="H36" s="20" t="n">
        <v>150</v>
      </c>
      <c r="I36" s="21" t="n">
        <f aca="false">D36*H36</f>
        <v>150</v>
      </c>
      <c r="J36" s="22" t="s">
        <v>25</v>
      </c>
      <c r="K36" s="14" t="s">
        <v>21</v>
      </c>
    </row>
    <row r="37" customFormat="false" ht="39.75" hidden="false" customHeight="true" outlineLevel="0" collapsed="false">
      <c r="A37" s="6" t="n">
        <v>26</v>
      </c>
      <c r="B37" s="7" t="s">
        <v>119</v>
      </c>
      <c r="C37" s="8" t="s">
        <v>105</v>
      </c>
      <c r="D37" s="9" t="n">
        <v>1</v>
      </c>
      <c r="E37" s="8" t="s">
        <v>120</v>
      </c>
      <c r="F37" s="10" t="s">
        <v>121</v>
      </c>
      <c r="G37" s="10" t="s">
        <v>122</v>
      </c>
      <c r="H37" s="11" t="n">
        <v>30</v>
      </c>
      <c r="I37" s="12" t="n">
        <f aca="false">D37*H37</f>
        <v>30</v>
      </c>
      <c r="J37" s="13" t="s">
        <v>123</v>
      </c>
      <c r="K37" s="23" t="s">
        <v>81</v>
      </c>
    </row>
    <row r="38" customFormat="false" ht="39.75" hidden="false" customHeight="true" outlineLevel="0" collapsed="false">
      <c r="A38" s="15" t="n">
        <v>27</v>
      </c>
      <c r="B38" s="16" t="s">
        <v>124</v>
      </c>
      <c r="C38" s="17" t="s">
        <v>105</v>
      </c>
      <c r="D38" s="18" t="n">
        <v>1</v>
      </c>
      <c r="E38" s="17" t="s">
        <v>17</v>
      </c>
      <c r="F38" s="19" t="s">
        <v>125</v>
      </c>
      <c r="G38" s="19" t="s">
        <v>126</v>
      </c>
      <c r="H38" s="20" t="n">
        <v>400</v>
      </c>
      <c r="I38" s="21" t="n">
        <f aca="false">D38*H38</f>
        <v>400</v>
      </c>
      <c r="J38" s="22" t="s">
        <v>108</v>
      </c>
      <c r="K38" s="14" t="s">
        <v>21</v>
      </c>
    </row>
    <row r="40" customFormat="false" ht="27.75" hidden="false" customHeight="true" outlineLevel="0" collapsed="false">
      <c r="A40" s="25" t="s">
        <v>127</v>
      </c>
      <c r="B40" s="25"/>
      <c r="C40" s="25"/>
      <c r="D40" s="25"/>
      <c r="E40" s="25"/>
      <c r="F40" s="25"/>
      <c r="G40" s="25"/>
      <c r="H40" s="25"/>
      <c r="I40" s="26" t="s">
        <v>128</v>
      </c>
      <c r="J40" s="27"/>
      <c r="K40" s="28"/>
    </row>
    <row r="41" customFormat="false" ht="27.75" hidden="false" customHeight="true" outlineLevel="0" collapsed="false">
      <c r="A41" s="25" t="s">
        <v>129</v>
      </c>
      <c r="B41" s="25"/>
      <c r="C41" s="25"/>
      <c r="D41" s="25"/>
      <c r="E41" s="25"/>
      <c r="F41" s="25"/>
      <c r="G41" s="25"/>
      <c r="H41" s="25"/>
      <c r="I41" s="29" t="s">
        <v>130</v>
      </c>
      <c r="J41" s="27"/>
      <c r="K41" s="28"/>
    </row>
    <row r="42" customFormat="false" ht="27.75" hidden="false" customHeight="true" outlineLevel="0" collapsed="false">
      <c r="A42" s="30" t="s">
        <v>131</v>
      </c>
      <c r="B42" s="30"/>
      <c r="C42" s="30"/>
      <c r="D42" s="30"/>
      <c r="E42" s="30"/>
      <c r="F42" s="30"/>
      <c r="G42" s="30"/>
      <c r="H42" s="30"/>
      <c r="I42" s="31" t="s">
        <v>132</v>
      </c>
      <c r="J42" s="32"/>
      <c r="K42" s="33"/>
    </row>
    <row r="43" customFormat="false" ht="27.75" hidden="false" customHeight="true" outlineLevel="0" collapsed="false">
      <c r="A43" s="34" t="s">
        <v>133</v>
      </c>
      <c r="B43" s="34"/>
      <c r="C43" s="34"/>
      <c r="D43" s="34"/>
      <c r="E43" s="34"/>
      <c r="F43" s="34"/>
      <c r="G43" s="34"/>
      <c r="H43" s="34"/>
      <c r="I43" s="35" t="s">
        <v>134</v>
      </c>
      <c r="J43" s="36"/>
      <c r="K43" s="37"/>
    </row>
  </sheetData>
  <mergeCells count="14">
    <mergeCell ref="A1:K1"/>
    <mergeCell ref="A2:K2"/>
    <mergeCell ref="A3:K3"/>
    <mergeCell ref="A5:K5"/>
    <mergeCell ref="A8:K8"/>
    <mergeCell ref="A12:K12"/>
    <mergeCell ref="A16:K16"/>
    <mergeCell ref="A22:K22"/>
    <mergeCell ref="A30:K30"/>
    <mergeCell ref="A32:K32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0" hidden="false" customHeight="true" outlineLevel="0" collapsed="false">
      <c r="A1" s="38" t="s">
        <v>135</v>
      </c>
      <c r="B1" s="38"/>
    </row>
    <row r="2" customFormat="false" ht="34.5" hidden="false" customHeight="true" outlineLevel="0" collapsed="false">
      <c r="A2" s="39" t="s">
        <v>136</v>
      </c>
      <c r="B2" s="40" t="s">
        <v>137</v>
      </c>
    </row>
    <row r="3" customFormat="false" ht="34.5" hidden="false" customHeight="true" outlineLevel="0" collapsed="false">
      <c r="A3" s="39" t="s">
        <v>138</v>
      </c>
      <c r="B3" s="40" t="s">
        <v>139</v>
      </c>
    </row>
    <row r="4" customFormat="false" ht="34.5" hidden="false" customHeight="true" outlineLevel="0" collapsed="false">
      <c r="A4" s="39" t="s">
        <v>140</v>
      </c>
      <c r="B4" s="40" t="s">
        <v>141</v>
      </c>
    </row>
    <row r="5" customFormat="false" ht="9.75" hidden="false" customHeight="true" outlineLevel="0" collapsed="false">
      <c r="A5" s="41"/>
      <c r="B5" s="41"/>
    </row>
    <row r="6" customFormat="false" ht="34.5" hidden="false" customHeight="true" outlineLevel="0" collapsed="false">
      <c r="A6" s="42" t="s">
        <v>142</v>
      </c>
      <c r="B6" s="43" t="s">
        <v>143</v>
      </c>
    </row>
    <row r="7" customFormat="false" ht="34.5" hidden="false" customHeight="true" outlineLevel="0" collapsed="false">
      <c r="A7" s="42" t="s">
        <v>144</v>
      </c>
      <c r="B7" s="43" t="s">
        <v>145</v>
      </c>
    </row>
    <row r="8" customFormat="false" ht="34.5" hidden="false" customHeight="true" outlineLevel="0" collapsed="false">
      <c r="A8" s="42" t="s">
        <v>146</v>
      </c>
      <c r="B8" s="43" t="s">
        <v>147</v>
      </c>
    </row>
    <row r="9" customFormat="false" ht="34.5" hidden="false" customHeight="true" outlineLevel="0" collapsed="false">
      <c r="A9" s="42" t="s">
        <v>148</v>
      </c>
      <c r="B9" s="43" t="s">
        <v>149</v>
      </c>
    </row>
    <row r="10" customFormat="false" ht="34.5" hidden="false" customHeight="true" outlineLevel="0" collapsed="false">
      <c r="A10" s="42" t="s">
        <v>150</v>
      </c>
      <c r="B10" s="43" t="s">
        <v>151</v>
      </c>
    </row>
    <row r="11" customFormat="false" ht="34.5" hidden="false" customHeight="true" outlineLevel="0" collapsed="false">
      <c r="A11" s="42" t="s">
        <v>152</v>
      </c>
      <c r="B11" s="43" t="s">
        <v>153</v>
      </c>
    </row>
    <row r="12" customFormat="false" ht="9.75" hidden="false" customHeight="true" outlineLevel="0" collapsed="false">
      <c r="A12" s="41"/>
      <c r="B12" s="41"/>
    </row>
    <row r="13" customFormat="false" ht="34.5" hidden="false" customHeight="true" outlineLevel="0" collapsed="false">
      <c r="A13" s="44" t="s">
        <v>154</v>
      </c>
      <c r="B13" s="45" t="s">
        <v>155</v>
      </c>
    </row>
    <row r="14" customFormat="false" ht="34.5" hidden="false" customHeight="true" outlineLevel="0" collapsed="false">
      <c r="A14" s="44" t="s">
        <v>156</v>
      </c>
      <c r="B14" s="45" t="s">
        <v>157</v>
      </c>
    </row>
    <row r="15" customFormat="false" ht="34.5" hidden="false" customHeight="true" outlineLevel="0" collapsed="false">
      <c r="A15" s="44" t="s">
        <v>158</v>
      </c>
      <c r="B15" s="45" t="s">
        <v>159</v>
      </c>
    </row>
    <row r="16" customFormat="false" ht="9.75" hidden="false" customHeight="true" outlineLevel="0" collapsed="false">
      <c r="A16" s="41"/>
      <c r="B16" s="41"/>
    </row>
    <row r="17" customFormat="false" ht="34.5" hidden="false" customHeight="true" outlineLevel="0" collapsed="false">
      <c r="A17" s="46" t="s">
        <v>160</v>
      </c>
      <c r="B17" s="47" t="s">
        <v>161</v>
      </c>
    </row>
    <row r="18" customFormat="false" ht="34.5" hidden="false" customHeight="true" outlineLevel="0" collapsed="false">
      <c r="A18" s="46" t="s">
        <v>162</v>
      </c>
      <c r="B18" s="47" t="s">
        <v>163</v>
      </c>
    </row>
    <row r="19" customFormat="false" ht="34.5" hidden="false" customHeight="true" outlineLevel="0" collapsed="false">
      <c r="A19" s="46" t="s">
        <v>164</v>
      </c>
      <c r="B19" s="47" t="s">
        <v>165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2026-04-17T09:00:34Z</dcterms:created>
  <dc:creator>openpyxl</dc:creator>
  <dc:description/>
  <dc:language>en-US</dc:language>
  <cp:lastModifiedBy/>
  <dcterms:modified xsi:type="dcterms:W3CDTF">2026-04-17T09:00:34Z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